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CodeRoad\xu_bi\xubi_backend\src\main\resources\"/>
    </mc:Choice>
  </mc:AlternateContent>
  <xr:revisionPtr revIDLastSave="0" documentId="13_ncr:1_{AF1E6FA6-8811-4BC5-95DD-76AB35C153F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成绩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 s="1"/>
  <c r="K5" i="1"/>
  <c r="K6" i="1"/>
  <c r="L13" i="1" s="1"/>
  <c r="K7" i="1"/>
  <c r="L7" i="1"/>
  <c r="K8" i="1"/>
  <c r="L15" i="1" s="1"/>
  <c r="K9" i="1"/>
  <c r="L8" i="1" s="1"/>
  <c r="K10" i="1"/>
  <c r="L9" i="1" s="1"/>
  <c r="K11" i="1"/>
  <c r="L18" i="1" s="1"/>
  <c r="L11" i="1"/>
  <c r="K12" i="1"/>
  <c r="K13" i="1"/>
  <c r="K14" i="1"/>
  <c r="L14" i="1" s="1"/>
  <c r="K15" i="1"/>
  <c r="K16" i="1"/>
  <c r="K17" i="1"/>
  <c r="K18" i="1"/>
  <c r="C19" i="1"/>
  <c r="D19" i="1"/>
  <c r="E19" i="1"/>
  <c r="F19" i="1"/>
  <c r="G19" i="1"/>
  <c r="H19" i="1"/>
  <c r="I19" i="1"/>
  <c r="J19" i="1"/>
  <c r="C20" i="1"/>
  <c r="D20" i="1"/>
  <c r="E20" i="1"/>
  <c r="F20" i="1"/>
  <c r="G20" i="1"/>
  <c r="H20" i="1"/>
  <c r="I20" i="1"/>
  <c r="J20" i="1"/>
  <c r="K20" i="1"/>
  <c r="C21" i="1"/>
  <c r="D21" i="1"/>
  <c r="E21" i="1"/>
  <c r="F21" i="1"/>
  <c r="G21" i="1"/>
  <c r="H21" i="1"/>
  <c r="I21" i="1"/>
  <c r="J21" i="1"/>
  <c r="L16" i="1" l="1"/>
  <c r="K19" i="1"/>
  <c r="L6" i="1"/>
  <c r="L10" i="1"/>
  <c r="L17" i="1"/>
  <c r="K21" i="1"/>
  <c r="L5" i="1"/>
  <c r="L12" i="1"/>
</calcChain>
</file>

<file path=xl/sharedStrings.xml><?xml version="1.0" encoding="utf-8"?>
<sst xmlns="http://schemas.openxmlformats.org/spreadsheetml/2006/main" count="49" uniqueCount="49">
  <si>
    <t>2024-2025学年第二学期期末成绩表</t>
  </si>
  <si>
    <t>班级：高中一年级(3)班</t>
  </si>
  <si>
    <t>班主任：王老师</t>
  </si>
  <si>
    <t>制表日期：2025年1月20日</t>
  </si>
  <si>
    <t>序号</t>
  </si>
  <si>
    <t>姓名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</si>
  <si>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</si>
  <si>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</si>
  <si>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</si>
  <si>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</si>
  <si>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</si>
  <si>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</si>
  <si>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</si>
  <si>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</si>
  <si>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总分</t>
  </si>
  <si>
    <t>班级排名</t>
  </si>
  <si>
    <t>01</t>
  </si>
  <si>
    <t>张伟</t>
  </si>
  <si>
    <t>02</t>
  </si>
  <si>
    <t>李娜</t>
  </si>
  <si>
    <t>03</t>
  </si>
  <si>
    <t>王芳</t>
  </si>
  <si>
    <t>04</t>
  </si>
  <si>
    <t>刘洋</t>
  </si>
  <si>
    <t>05</t>
  </si>
  <si>
    <t>陈静</t>
  </si>
  <si>
    <t>06</t>
  </si>
  <si>
    <t>赵磊</t>
  </si>
  <si>
    <t>07</t>
  </si>
  <si>
    <t>孙慧</t>
  </si>
  <si>
    <t>08</t>
  </si>
  <si>
    <t>周强</t>
  </si>
  <si>
    <t>09</t>
  </si>
  <si>
    <t>吴雪</t>
  </si>
  <si>
    <t>10</t>
  </si>
  <si>
    <t>郑浩</t>
  </si>
  <si>
    <t>11</t>
  </si>
  <si>
    <t>黄梅</t>
  </si>
  <si>
    <t>12</t>
  </si>
  <si>
    <t>林涛</t>
  </si>
  <si>
    <t>13</t>
  </si>
  <si>
    <t>刘思思</t>
  </si>
  <si>
    <t>14</t>
  </si>
  <si>
    <t>徐明</t>
  </si>
  <si>
    <t>15</t>
  </si>
  <si>
    <t>何欣</t>
  </si>
  <si>
    <t>班级平均分</t>
  </si>
  <si>
    <t>最高分</t>
  </si>
  <si>
    <t>最低分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</si>
</sst>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9" x14ac:knownFonts="1">
    <font>
      <sz val="11"/>
      <color theme="1"/>
      <name val="宋体"/>
      <family val="2"/>
      <scheme val="minor"/>
    </font>
    <font>
      <b/>
      <sz val="16"/>
      <color rgb="FFFFFFFF"/>
      <name val="Arial"/>
    </font>
    <font>
      <sz val="11"/>
      <name val="Arial"/>
    </font>
    <font>
      <b/>
      <sz val="11"/>
      <color rgb="FFFFFFFF"/>
      <name val="Arial"/>
    </font>
    <font>
      <sz val="10"/>
      <name val="Arial"/>
    </font>
    <font>
      <sz val="10"/>
      <color rgb="FF000000"/>
      <name val="Arial"/>
    </font>
    <font>
      <b/>
      <sz val="10"/>
      <name val="Arial"/>
    </font>
    <font>
      <sz val="10"/>
      <color rgb="FFFF0000"/>
      <name val="Arial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1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right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2F7FB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</dxf>
    <dxf>
      <border outline="0">
        <top style="thin">
          <color rgb="FFAAAAAA"/>
        </top>
      </border>
    </dxf>
    <dxf>
      <border outline="0"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A56756-11C3-4680-BFC6-DE203C18B813}" name="表2" displayName="表2" ref="A3:L18" totalsRowShown="0" headerRowDxfId="0" dataDxfId="1" headerRowBorderDxfId="15" tableBorderDxfId="16" totalsRowBorderDxfId="14">
  <autoFilter ref="A3:L18" xr:uid="{72A56756-11C3-4680-BFC6-DE203C18B813}"/>
  <tableColumns count="12">
    <tableColumn id="1" xr3:uid="{C61C36A0-A083-42A6-ACC5-FC4591872048}" name="序号" dataDxfId="13"/>
    <tableColumn id="2" xr3:uid="{C68D2D92-4AF6-4115-A566-78E968FD0C1E}" name="姓名" dataDxfId="12"/>
    <tableColumn id="3" xr3:uid="{96C5E6C2-0AA7-4987-8964-3A7B859E1116}" name="语文" dataDxfId="11"/>
    <tableColumn id="4" xr3:uid="{74973A59-F0B3-47EE-B40C-0B4D615D5CAC}" name="数学" dataDxfId="10"/>
    <tableColumn id="5" xr3:uid="{10798B1E-BCF0-4C0C-960D-CFC0DA8D72F7}" name="英语" dataDxfId="9"/>
    <tableColumn id="6" xr3:uid="{D2A63C8B-3FDF-4E90-89C3-46BD89A8DE4D}" name="物理" dataDxfId="8"/>
    <tableColumn id="7" xr3:uid="{3722F9E1-5FD2-41E8-B480-7828C08080E4}" name="化学" dataDxfId="7"/>
    <tableColumn id="8" xr3:uid="{9D63FCD6-8EA8-4E01-AB6D-F3C8C6F9B499}" name="生物" dataDxfId="6"/>
    <tableColumn id="9" xr3:uid="{F98E581B-D44B-462A-9479-6FC00CA16A43}" name="历史" dataDxfId="5"/>
    <tableColumn id="10" xr3:uid="{2665F209-F49D-4DAE-A35E-72BCE0C4D0B9}" name="政治" dataDxfId="4"/>
    <tableColumn id="11" xr3:uid="{0454BD57-CA33-4B73-B582-991B5460E188}" name="总分" dataDxfId="3">
      <calculatedColumnFormula>SUM(C4:J4)</calculatedColumnFormula>
    </tableColumn>
    <tableColumn id="12" xr3:uid="{4D6F2EA8-AEE1-422F-81FC-8305F82140CA}" name="班级排名" dataDxfId="2">
      <calculatedColumnFormula>RANK(K4,K$4:K$18,0)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L20" sqref="L20"/>
    </sheetView>
  </sheetViews>
  <sheetFormatPr defaultRowHeight="13.5" x14ac:dyDescent="0.3"/>
  <cols>
    <col min="1" max="1" width="10.06640625" customWidth="1"/>
    <col min="2" max="2" width="17" customWidth="1"/>
    <col min="3" max="10" width="7" customWidth="1"/>
    <col min="11" max="11" width="8" customWidth="1"/>
    <col min="12" max="12" width="10.33203125" customWidth="1"/>
  </cols>
  <sheetData>
    <row r="1" spans="1:12" ht="35" customHeight="1" x14ac:dyDescent="0.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22.05" customHeight="1" x14ac:dyDescent="0.3">
      <c r="A2" s="11" t="s">
        <v>1</v>
      </c>
      <c r="B2" s="11"/>
      <c r="C2" s="11"/>
      <c r="D2" s="11"/>
      <c r="E2" s="11" t="s">
        <v>2</v>
      </c>
      <c r="F2" s="11"/>
      <c r="G2" s="11"/>
      <c r="H2" s="11"/>
      <c r="I2" s="12" t="s">
        <v>3</v>
      </c>
      <c r="J2" s="12"/>
      <c r="K2" s="12"/>
      <c r="L2" s="12"/>
    </row>
    <row r="3" spans="1:12" ht="22.05" customHeight="1" x14ac:dyDescent="0.3">
      <c r="A3" s="23" t="s">
        <v>4</v>
      </c>
      <c r="B3" s="24" t="s">
        <v>5</v>
      </c>
      <c r="C3" s="24" t="s">
        <v>6</v>
      </c>
      <c r="D3" s="24" t="s">
        <v>7</v>
      </c>
      <c r="E3" s="24" t="s">
        <v>8</v>
      </c>
      <c r="F3" s="24" t="s">
        <v>9</v>
      </c>
      <c r="G3" s="24" t="s">
        <v>10</v>
      </c>
      <c r="H3" s="24" t="s">
        <v>11</v>
      </c>
      <c r="I3" s="24" t="s">
        <v>12</v>
      </c>
      <c r="J3" s="24" t="s">
        <v>13</v>
      </c>
      <c r="K3" s="24" t="s">
        <v>14</v>
      </c>
      <c r="L3" s="25" t="s">
        <v>15</v>
      </c>
    </row>
    <row r="4" spans="1:12" ht="13.5" customHeight="1" x14ac:dyDescent="0.3">
      <c r="A4" s="19" t="s">
        <v>16</v>
      </c>
      <c r="B4" s="1" t="s">
        <v>17</v>
      </c>
      <c r="C4" s="2">
        <v>92</v>
      </c>
      <c r="D4" s="2">
        <v>88</v>
      </c>
      <c r="E4" s="2">
        <v>85</v>
      </c>
      <c r="F4" s="2">
        <v>78</v>
      </c>
      <c r="G4" s="2">
        <v>82</v>
      </c>
      <c r="H4" s="2">
        <v>79</v>
      </c>
      <c r="I4" s="2">
        <v>88</v>
      </c>
      <c r="J4" s="2">
        <v>84</v>
      </c>
      <c r="K4" s="3">
        <f t="shared" ref="K4:K18" si="0">SUM(C4:J4)</f>
        <v>676</v>
      </c>
      <c r="L4" s="21">
        <f t="shared" ref="L4:L18" si="1">RANK(K4,K$4:K$18,0)</f>
        <v>7</v>
      </c>
    </row>
    <row r="5" spans="1:12" ht="13.5" customHeight="1" x14ac:dyDescent="0.3">
      <c r="A5" s="20" t="s">
        <v>18</v>
      </c>
      <c r="B5" s="4" t="s">
        <v>19</v>
      </c>
      <c r="C5" s="5">
        <v>88</v>
      </c>
      <c r="D5" s="5">
        <v>95</v>
      </c>
      <c r="E5" s="5">
        <v>91</v>
      </c>
      <c r="F5" s="5">
        <v>85</v>
      </c>
      <c r="G5" s="5">
        <v>89</v>
      </c>
      <c r="H5" s="5">
        <v>92</v>
      </c>
      <c r="I5" s="5">
        <v>76</v>
      </c>
      <c r="J5" s="5">
        <v>80</v>
      </c>
      <c r="K5" s="6">
        <f t="shared" si="0"/>
        <v>696</v>
      </c>
      <c r="L5" s="22">
        <f t="shared" si="1"/>
        <v>1</v>
      </c>
    </row>
    <row r="6" spans="1:12" ht="13.5" customHeight="1" x14ac:dyDescent="0.3">
      <c r="A6" s="19" t="s">
        <v>20</v>
      </c>
      <c r="B6" s="1" t="s">
        <v>21</v>
      </c>
      <c r="C6" s="2">
        <v>79</v>
      </c>
      <c r="D6" s="7">
        <v>72</v>
      </c>
      <c r="E6" s="2">
        <v>88</v>
      </c>
      <c r="F6" s="7">
        <v>65</v>
      </c>
      <c r="G6" s="7">
        <v>70</v>
      </c>
      <c r="H6" s="2">
        <v>75</v>
      </c>
      <c r="I6" s="2">
        <v>90</v>
      </c>
      <c r="J6" s="2">
        <v>88</v>
      </c>
      <c r="K6" s="3">
        <f t="shared" si="0"/>
        <v>627</v>
      </c>
      <c r="L6" s="21">
        <f t="shared" si="1"/>
        <v>14</v>
      </c>
    </row>
    <row r="7" spans="1:12" ht="13.5" customHeight="1" x14ac:dyDescent="0.3">
      <c r="A7" s="20" t="s">
        <v>22</v>
      </c>
      <c r="B7" s="4" t="s">
        <v>23</v>
      </c>
      <c r="C7" s="5">
        <v>95</v>
      </c>
      <c r="D7" s="5">
        <v>98</v>
      </c>
      <c r="E7" s="5">
        <v>82</v>
      </c>
      <c r="F7" s="5">
        <v>92</v>
      </c>
      <c r="G7" s="5">
        <v>88</v>
      </c>
      <c r="H7" s="5">
        <v>85</v>
      </c>
      <c r="I7" s="8">
        <v>72</v>
      </c>
      <c r="J7" s="5">
        <v>78</v>
      </c>
      <c r="K7" s="6">
        <f t="shared" si="0"/>
        <v>690</v>
      </c>
      <c r="L7" s="22">
        <f t="shared" si="1"/>
        <v>2</v>
      </c>
    </row>
    <row r="8" spans="1:12" ht="13.5" customHeight="1" x14ac:dyDescent="0.3">
      <c r="A8" s="19" t="s">
        <v>24</v>
      </c>
      <c r="B8" s="1" t="s">
        <v>25</v>
      </c>
      <c r="C8" s="2">
        <v>86</v>
      </c>
      <c r="D8" s="2">
        <v>80</v>
      </c>
      <c r="E8" s="2">
        <v>94</v>
      </c>
      <c r="F8" s="2">
        <v>76</v>
      </c>
      <c r="G8" s="2">
        <v>83</v>
      </c>
      <c r="H8" s="2">
        <v>88</v>
      </c>
      <c r="I8" s="2">
        <v>85</v>
      </c>
      <c r="J8" s="2">
        <v>91</v>
      </c>
      <c r="K8" s="3">
        <f t="shared" si="0"/>
        <v>683</v>
      </c>
      <c r="L8" s="21">
        <f t="shared" si="1"/>
        <v>6</v>
      </c>
    </row>
    <row r="9" spans="1:12" ht="13.5" customHeight="1" x14ac:dyDescent="0.3">
      <c r="A9" s="20" t="s">
        <v>26</v>
      </c>
      <c r="B9" s="4" t="s">
        <v>27</v>
      </c>
      <c r="C9" s="8">
        <v>72</v>
      </c>
      <c r="D9" s="5">
        <v>85</v>
      </c>
      <c r="E9" s="5">
        <v>78</v>
      </c>
      <c r="F9" s="5">
        <v>88</v>
      </c>
      <c r="G9" s="5">
        <v>91</v>
      </c>
      <c r="H9" s="5">
        <v>80</v>
      </c>
      <c r="I9" s="8">
        <v>68</v>
      </c>
      <c r="J9" s="8">
        <v>72</v>
      </c>
      <c r="K9" s="6">
        <f t="shared" si="0"/>
        <v>634</v>
      </c>
      <c r="L9" s="22">
        <f t="shared" si="1"/>
        <v>13</v>
      </c>
    </row>
    <row r="10" spans="1:12" ht="13.5" customHeight="1" x14ac:dyDescent="0.3">
      <c r="A10" s="19" t="s">
        <v>28</v>
      </c>
      <c r="B10" s="1" t="s">
        <v>29</v>
      </c>
      <c r="C10" s="2">
        <v>90</v>
      </c>
      <c r="D10" s="2">
        <v>76</v>
      </c>
      <c r="E10" s="2">
        <v>96</v>
      </c>
      <c r="F10" s="7">
        <v>70</v>
      </c>
      <c r="G10" s="2">
        <v>75</v>
      </c>
      <c r="H10" s="2">
        <v>82</v>
      </c>
      <c r="I10" s="2">
        <v>92</v>
      </c>
      <c r="J10" s="2">
        <v>89</v>
      </c>
      <c r="K10" s="3">
        <f t="shared" si="0"/>
        <v>670</v>
      </c>
      <c r="L10" s="21">
        <f t="shared" si="1"/>
        <v>8</v>
      </c>
    </row>
    <row r="11" spans="1:12" ht="13.5" customHeight="1" x14ac:dyDescent="0.3">
      <c r="A11" s="20" t="s">
        <v>30</v>
      </c>
      <c r="B11" s="4" t="s">
        <v>31</v>
      </c>
      <c r="C11" s="5">
        <v>83</v>
      </c>
      <c r="D11" s="5">
        <v>91</v>
      </c>
      <c r="E11" s="5">
        <v>80</v>
      </c>
      <c r="F11" s="5">
        <v>95</v>
      </c>
      <c r="G11" s="5">
        <v>87</v>
      </c>
      <c r="H11" s="5">
        <v>78</v>
      </c>
      <c r="I11" s="5">
        <v>80</v>
      </c>
      <c r="J11" s="5">
        <v>76</v>
      </c>
      <c r="K11" s="6">
        <f t="shared" si="0"/>
        <v>670</v>
      </c>
      <c r="L11" s="22">
        <f t="shared" si="1"/>
        <v>8</v>
      </c>
    </row>
    <row r="12" spans="1:12" ht="13.5" customHeight="1" x14ac:dyDescent="0.3">
      <c r="A12" s="19" t="s">
        <v>32</v>
      </c>
      <c r="B12" s="1" t="s">
        <v>33</v>
      </c>
      <c r="C12" s="2">
        <v>88</v>
      </c>
      <c r="D12" s="7">
        <v>68</v>
      </c>
      <c r="E12" s="2">
        <v>92</v>
      </c>
      <c r="F12" s="7">
        <v>72</v>
      </c>
      <c r="G12" s="2">
        <v>78</v>
      </c>
      <c r="H12" s="2">
        <v>90</v>
      </c>
      <c r="I12" s="2">
        <v>94</v>
      </c>
      <c r="J12" s="2">
        <v>86</v>
      </c>
      <c r="K12" s="3">
        <f t="shared" si="0"/>
        <v>668</v>
      </c>
      <c r="L12" s="21">
        <f t="shared" si="1"/>
        <v>10</v>
      </c>
    </row>
    <row r="13" spans="1:12" ht="13.5" customHeight="1" x14ac:dyDescent="0.3">
      <c r="A13" s="20" t="s">
        <v>34</v>
      </c>
      <c r="B13" s="4" t="s">
        <v>35</v>
      </c>
      <c r="C13" s="5">
        <v>76</v>
      </c>
      <c r="D13" s="5">
        <v>94</v>
      </c>
      <c r="E13" s="8">
        <v>74</v>
      </c>
      <c r="F13" s="5">
        <v>90</v>
      </c>
      <c r="G13" s="5">
        <v>92</v>
      </c>
      <c r="H13" s="5">
        <v>76</v>
      </c>
      <c r="I13" s="5">
        <v>76</v>
      </c>
      <c r="J13" s="8">
        <v>70</v>
      </c>
      <c r="K13" s="6">
        <f t="shared" si="0"/>
        <v>648</v>
      </c>
      <c r="L13" s="22">
        <f t="shared" si="1"/>
        <v>12</v>
      </c>
    </row>
    <row r="14" spans="1:12" ht="13.5" customHeight="1" x14ac:dyDescent="0.3">
      <c r="A14" s="19" t="s">
        <v>36</v>
      </c>
      <c r="B14" s="1" t="s">
        <v>37</v>
      </c>
      <c r="C14" s="2">
        <v>91</v>
      </c>
      <c r="D14" s="2">
        <v>83</v>
      </c>
      <c r="E14" s="2">
        <v>89</v>
      </c>
      <c r="F14" s="2">
        <v>80</v>
      </c>
      <c r="G14" s="2">
        <v>79</v>
      </c>
      <c r="H14" s="2">
        <v>88</v>
      </c>
      <c r="I14" s="2">
        <v>88</v>
      </c>
      <c r="J14" s="2">
        <v>92</v>
      </c>
      <c r="K14" s="3">
        <f t="shared" si="0"/>
        <v>690</v>
      </c>
      <c r="L14" s="21">
        <f t="shared" si="1"/>
        <v>2</v>
      </c>
    </row>
    <row r="15" spans="1:12" ht="13.5" customHeight="1" x14ac:dyDescent="0.3">
      <c r="A15" s="20" t="s">
        <v>38</v>
      </c>
      <c r="B15" s="4" t="s">
        <v>39</v>
      </c>
      <c r="C15" s="8">
        <v>68</v>
      </c>
      <c r="D15" s="5">
        <v>77</v>
      </c>
      <c r="E15" s="5">
        <v>82</v>
      </c>
      <c r="F15" s="5">
        <v>84</v>
      </c>
      <c r="G15" s="5">
        <v>85</v>
      </c>
      <c r="H15" s="8">
        <v>72</v>
      </c>
      <c r="I15" s="8">
        <v>70</v>
      </c>
      <c r="J15" s="5">
        <v>75</v>
      </c>
      <c r="K15" s="6">
        <f t="shared" si="0"/>
        <v>613</v>
      </c>
      <c r="L15" s="22">
        <f t="shared" si="1"/>
        <v>15</v>
      </c>
    </row>
    <row r="16" spans="1:12" ht="13.5" customHeight="1" x14ac:dyDescent="0.3">
      <c r="A16" s="19" t="s">
        <v>40</v>
      </c>
      <c r="B16" s="1" t="s">
        <v>41</v>
      </c>
      <c r="C16" s="2">
        <v>94</v>
      </c>
      <c r="D16" s="2">
        <v>90</v>
      </c>
      <c r="E16" s="2">
        <v>87</v>
      </c>
      <c r="F16" s="2">
        <v>78</v>
      </c>
      <c r="G16" s="2">
        <v>80</v>
      </c>
      <c r="H16" s="2">
        <v>86</v>
      </c>
      <c r="I16" s="2">
        <v>82</v>
      </c>
      <c r="J16" s="2">
        <v>88</v>
      </c>
      <c r="K16" s="3">
        <f t="shared" si="0"/>
        <v>685</v>
      </c>
      <c r="L16" s="21">
        <f t="shared" si="1"/>
        <v>5</v>
      </c>
    </row>
    <row r="17" spans="1:12" ht="13.5" customHeight="1" x14ac:dyDescent="0.3">
      <c r="A17" s="20" t="s">
        <v>42</v>
      </c>
      <c r="B17" s="4" t="s">
        <v>43</v>
      </c>
      <c r="C17" s="5">
        <v>80</v>
      </c>
      <c r="D17" s="5">
        <v>86</v>
      </c>
      <c r="E17" s="5">
        <v>76</v>
      </c>
      <c r="F17" s="5">
        <v>88</v>
      </c>
      <c r="G17" s="5">
        <v>76</v>
      </c>
      <c r="H17" s="5">
        <v>80</v>
      </c>
      <c r="I17" s="5">
        <v>85</v>
      </c>
      <c r="J17" s="5">
        <v>82</v>
      </c>
      <c r="K17" s="6">
        <f t="shared" si="0"/>
        <v>653</v>
      </c>
      <c r="L17" s="22">
        <f t="shared" si="1"/>
        <v>11</v>
      </c>
    </row>
    <row r="18" spans="1:12" ht="20" customHeight="1" x14ac:dyDescent="0.3">
      <c r="A18" s="26" t="s">
        <v>44</v>
      </c>
      <c r="B18" s="27" t="s">
        <v>45</v>
      </c>
      <c r="C18" s="28">
        <v>87</v>
      </c>
      <c r="D18" s="28">
        <v>79</v>
      </c>
      <c r="E18" s="28">
        <v>93</v>
      </c>
      <c r="F18" s="28">
        <v>75</v>
      </c>
      <c r="G18" s="28">
        <v>84</v>
      </c>
      <c r="H18" s="28">
        <v>91</v>
      </c>
      <c r="I18" s="28">
        <v>90</v>
      </c>
      <c r="J18" s="28">
        <v>87</v>
      </c>
      <c r="K18" s="29">
        <f t="shared" si="0"/>
        <v>686</v>
      </c>
      <c r="L18" s="30">
        <f t="shared" si="1"/>
        <v>4</v>
      </c>
    </row>
    <row r="19" spans="1:12" ht="13.5" customHeight="1" x14ac:dyDescent="0.3">
      <c r="A19" s="13" t="s">
        <v>46</v>
      </c>
      <c r="B19" s="14"/>
      <c r="C19" s="9">
        <f t="shared" ref="C19:K19" si="2">AVERAGE(C4:C18)</f>
        <v>84.6</v>
      </c>
      <c r="D19" s="9">
        <f t="shared" si="2"/>
        <v>84.13333333333334</v>
      </c>
      <c r="E19" s="9">
        <f t="shared" si="2"/>
        <v>85.8</v>
      </c>
      <c r="F19" s="9">
        <f t="shared" si="2"/>
        <v>81.066666666666663</v>
      </c>
      <c r="G19" s="9">
        <f t="shared" si="2"/>
        <v>82.6</v>
      </c>
      <c r="H19" s="9">
        <f t="shared" si="2"/>
        <v>82.8</v>
      </c>
      <c r="I19" s="9">
        <f t="shared" si="2"/>
        <v>82.4</v>
      </c>
      <c r="J19" s="9">
        <f t="shared" si="2"/>
        <v>82.533333333333331</v>
      </c>
      <c r="K19" s="9">
        <f t="shared" si="2"/>
        <v>665.93333333333328</v>
      </c>
    </row>
    <row r="20" spans="1:12" ht="13.5" customHeight="1" x14ac:dyDescent="0.3">
      <c r="A20" s="17" t="s">
        <v>47</v>
      </c>
      <c r="B20" s="18"/>
      <c r="C20" s="9">
        <f t="shared" ref="C20:K20" si="3">MAX(C4:C18)</f>
        <v>95</v>
      </c>
      <c r="D20" s="9">
        <f t="shared" si="3"/>
        <v>98</v>
      </c>
      <c r="E20" s="9">
        <f t="shared" si="3"/>
        <v>96</v>
      </c>
      <c r="F20" s="9">
        <f t="shared" si="3"/>
        <v>95</v>
      </c>
      <c r="G20" s="9">
        <f t="shared" si="3"/>
        <v>92</v>
      </c>
      <c r="H20" s="9">
        <f t="shared" si="3"/>
        <v>92</v>
      </c>
      <c r="I20" s="9">
        <f t="shared" si="3"/>
        <v>94</v>
      </c>
      <c r="J20" s="9">
        <f t="shared" si="3"/>
        <v>92</v>
      </c>
      <c r="K20" s="9">
        <f t="shared" si="3"/>
        <v>696</v>
      </c>
    </row>
    <row r="21" spans="1:12" ht="13.5" customHeight="1" x14ac:dyDescent="0.3">
      <c r="A21" s="15" t="s">
        <v>48</v>
      </c>
      <c r="B21" s="16"/>
      <c r="C21" s="9">
        <f t="shared" ref="C21:K21" si="4">MIN(C4:C18)</f>
        <v>68</v>
      </c>
      <c r="D21" s="9">
        <f t="shared" si="4"/>
        <v>68</v>
      </c>
      <c r="E21" s="9">
        <f t="shared" si="4"/>
        <v>74</v>
      </c>
      <c r="F21" s="9">
        <f t="shared" si="4"/>
        <v>65</v>
      </c>
      <c r="G21" s="9">
        <f t="shared" si="4"/>
        <v>70</v>
      </c>
      <c r="H21" s="9">
        <f t="shared" si="4"/>
        <v>72</v>
      </c>
      <c r="I21" s="9">
        <f t="shared" si="4"/>
        <v>68</v>
      </c>
      <c r="J21" s="9">
        <f t="shared" si="4"/>
        <v>70</v>
      </c>
      <c r="K21" s="9">
        <f t="shared" si="4"/>
        <v>613</v>
      </c>
    </row>
  </sheetData>
  <mergeCells count="7">
    <mergeCell ref="A20:B20"/>
    <mergeCell ref="A21:B21"/>
    <mergeCell ref="A19:B19"/>
    <mergeCell ref="A1:L1"/>
    <mergeCell ref="A2:D2"/>
    <mergeCell ref="I2:L2"/>
    <mergeCell ref="E2:H2"/>
  </mergeCells>
  <phoneticPr fontId="8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Rufeng Xu</cp:lastModifiedBy>
  <dcterms:created xsi:type="dcterms:W3CDTF">2026-03-07T07:35:16Z</dcterms:created>
  <dcterms:modified xsi:type="dcterms:W3CDTF">2026-03-07T07:44:04Z</dcterms:modified>
</cp:coreProperties>
</file>